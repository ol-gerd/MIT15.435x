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C269838\Desktop\"/>
    </mc:Choice>
  </mc:AlternateContent>
  <xr:revisionPtr revIDLastSave="0" documentId="13_ncr:1_{54F204C8-042D-4308-AC53-6C871AEF866E}" xr6:coauthVersionLast="47" xr6:coauthVersionMax="47" xr10:uidLastSave="{00000000-0000-0000-0000-000000000000}"/>
  <bookViews>
    <workbookView xWindow="-108" yWindow="-108" windowWidth="23256" windowHeight="12576" xr2:uid="{A4FB1F62-105F-4EC8-A934-AD92FAC8CB75}"/>
  </bookViews>
  <sheets>
    <sheet name="Bond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H15" i="1" a="1"/>
  <c r="A15" i="1" a="1"/>
  <c r="O15" i="1" l="1"/>
  <c r="H15" i="1"/>
  <c r="A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<sst xmlns="http://schemas.openxmlformats.org/spreadsheetml/2006/main" count="48" uniqueCount="20">
  <si>
    <t>Maturity</t>
  </si>
  <si>
    <t>CouponFrequency</t>
  </si>
  <si>
    <t>CouponRate</t>
  </si>
  <si>
    <t>FaceValue</t>
  </si>
  <si>
    <t>Yield</t>
  </si>
  <si>
    <t>YieldFrequency</t>
  </si>
  <si>
    <t>Example 1</t>
  </si>
  <si>
    <t>Inputs</t>
  </si>
  <si>
    <t>Outputs</t>
  </si>
  <si>
    <t>&lt;- Bond maturity in Years</t>
  </si>
  <si>
    <t>&lt;- Coupon payments per year (positive integer)</t>
  </si>
  <si>
    <t>&lt;- Face value of a bond, dollars</t>
  </si>
  <si>
    <t>&lt;- Coupon rate, percent</t>
  </si>
  <si>
    <t>&lt;- Yield on a bond</t>
  </si>
  <si>
    <t>Example 2</t>
  </si>
  <si>
    <t>Example 3</t>
  </si>
  <si>
    <t>YieldFrequency = 2 - Yield is interpreted as "bond equivalent basis"</t>
  </si>
  <si>
    <t>YieldFrequency = 1 - Yield is interpreted as "effective annual yield"</t>
  </si>
  <si>
    <t>&lt;- Yield compounding frequency, periods per year (non-negative integer)</t>
  </si>
  <si>
    <t>YieldFrequency = 0 - Yield is assumed to be quoted with the same compounding frequency as CouponFrequency (quarterly in this example)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</si>
</sst>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0000"/>
    <numFmt numFmtId="167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0" borderId="0" xfId="0" quotePrefix="1" applyAlignment="1"/>
    <xf numFmtId="165" fontId="0" fillId="2" borderId="0" xfId="0" applyNumberForma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0" fontId="0" fillId="4" borderId="0" xfId="0" applyFill="1" applyAlignment="1"/>
    <xf numFmtId="0" fontId="0" fillId="5" borderId="0" xfId="0" applyFill="1" applyAlignment="1"/>
    <xf numFmtId="10" fontId="0" fillId="5" borderId="0" xfId="0" applyNumberFormat="1" applyFill="1" applyAlignment="1"/>
    <xf numFmtId="167" fontId="0" fillId="5" borderId="0" xfId="0" applyNumberFormat="1" applyFill="1" applyAlignment="1"/>
    <xf numFmtId="0" fontId="3" fillId="5" borderId="0" xfId="0" applyFont="1" applyFill="1" applyAlignment="1"/>
    <xf numFmtId="0" fontId="4" fillId="5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8671-144D-42BD-A161-38A352E6A8EB}">
  <sheetPr codeName="Sheet1"/>
  <dimension ref="A1:Z19"/>
  <sheetViews>
    <sheetView tabSelected="1" workbookViewId="0">
      <selection activeCell="A10" sqref="A10"/>
    </sheetView>
  </sheetViews>
  <sheetFormatPr defaultRowHeight="14.4" x14ac:dyDescent="0.3"/>
  <cols>
    <col min="1" max="1" width="16.77734375" style="1" customWidth="1"/>
    <col min="2" max="2" width="10.5546875" style="1" bestFit="1" customWidth="1"/>
    <col min="3" max="7" width="8.88671875" style="1"/>
    <col min="8" max="8" width="16.77734375" style="1" customWidth="1"/>
    <col min="9" max="9" width="10.5546875" style="1" bestFit="1" customWidth="1"/>
    <col min="10" max="14" width="8.88671875" style="1"/>
    <col min="15" max="15" width="16.77734375" style="1" customWidth="1"/>
    <col min="16" max="16" width="10.5546875" style="1" bestFit="1" customWidth="1"/>
    <col min="17" max="16384" width="8.88671875" style="1"/>
  </cols>
  <sheetData>
    <row r="1" spans="1:26" ht="23.4" x14ac:dyDescent="0.45">
      <c r="A1" s="11" t="s">
        <v>6</v>
      </c>
      <c r="B1" s="8"/>
      <c r="C1" s="8"/>
      <c r="D1" s="8"/>
      <c r="E1" s="8"/>
      <c r="F1" s="8"/>
      <c r="G1" s="8"/>
      <c r="H1" s="11" t="s">
        <v>14</v>
      </c>
      <c r="I1" s="8"/>
      <c r="J1" s="8"/>
      <c r="K1" s="8"/>
      <c r="L1" s="8"/>
      <c r="M1" s="8"/>
      <c r="N1" s="8"/>
      <c r="O1" s="11" t="s">
        <v>15</v>
      </c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3">
      <c r="A2" s="12" t="s">
        <v>16</v>
      </c>
      <c r="B2" s="8"/>
      <c r="C2" s="8"/>
      <c r="D2" s="8"/>
      <c r="E2" s="8"/>
      <c r="F2" s="8"/>
      <c r="G2" s="8"/>
      <c r="H2" s="12" t="s">
        <v>17</v>
      </c>
      <c r="I2" s="8"/>
      <c r="J2" s="8"/>
      <c r="K2" s="8"/>
      <c r="L2" s="8"/>
      <c r="M2" s="8"/>
      <c r="N2" s="8"/>
      <c r="O2" s="12" t="s">
        <v>19</v>
      </c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3">
      <c r="A4" s="5" t="s">
        <v>7</v>
      </c>
      <c r="B4" s="6"/>
      <c r="C4" s="8"/>
      <c r="D4" s="8"/>
      <c r="E4" s="8"/>
      <c r="F4" s="8"/>
      <c r="G4" s="8"/>
      <c r="H4" s="5" t="s">
        <v>7</v>
      </c>
      <c r="I4" s="6"/>
      <c r="J4" s="8"/>
      <c r="K4" s="8"/>
      <c r="L4" s="8"/>
      <c r="M4" s="8"/>
      <c r="N4" s="8"/>
      <c r="O4" s="5" t="s">
        <v>7</v>
      </c>
      <c r="P4" s="6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3">
      <c r="A5" s="2" t="s">
        <v>0</v>
      </c>
      <c r="B5" s="8">
        <v>1</v>
      </c>
      <c r="C5" s="8" t="s">
        <v>9</v>
      </c>
      <c r="D5" s="8"/>
      <c r="E5" s="8"/>
      <c r="F5" s="8"/>
      <c r="G5" s="8"/>
      <c r="H5" s="2" t="s">
        <v>0</v>
      </c>
      <c r="I5" s="8">
        <v>1</v>
      </c>
      <c r="J5" s="8" t="s">
        <v>9</v>
      </c>
      <c r="K5" s="8"/>
      <c r="L5" s="8"/>
      <c r="M5" s="8"/>
      <c r="N5" s="8"/>
      <c r="O5" s="2" t="s">
        <v>0</v>
      </c>
      <c r="P5" s="8">
        <v>1</v>
      </c>
      <c r="Q5" s="8" t="s">
        <v>9</v>
      </c>
      <c r="R5" s="8"/>
      <c r="S5" s="8"/>
      <c r="T5" s="8"/>
      <c r="U5" s="8"/>
      <c r="V5" s="8"/>
      <c r="W5" s="8"/>
      <c r="X5" s="8"/>
      <c r="Y5" s="8"/>
      <c r="Z5" s="8"/>
    </row>
    <row r="6" spans="1:26" x14ac:dyDescent="0.3">
      <c r="A6" s="2" t="s">
        <v>1</v>
      </c>
      <c r="B6" s="8">
        <v>4</v>
      </c>
      <c r="C6" s="8" t="s">
        <v>10</v>
      </c>
      <c r="D6" s="8"/>
      <c r="E6" s="8"/>
      <c r="F6" s="8"/>
      <c r="G6" s="8"/>
      <c r="H6" s="2" t="s">
        <v>1</v>
      </c>
      <c r="I6" s="8">
        <v>4</v>
      </c>
      <c r="J6" s="8" t="s">
        <v>10</v>
      </c>
      <c r="K6" s="8"/>
      <c r="L6" s="8"/>
      <c r="M6" s="8"/>
      <c r="N6" s="8"/>
      <c r="O6" s="2" t="s">
        <v>1</v>
      </c>
      <c r="P6" s="8">
        <v>4</v>
      </c>
      <c r="Q6" s="8" t="s">
        <v>10</v>
      </c>
      <c r="R6" s="8"/>
      <c r="S6" s="8"/>
      <c r="T6" s="8"/>
      <c r="U6" s="8"/>
      <c r="V6" s="8"/>
      <c r="W6" s="8"/>
      <c r="X6" s="8"/>
      <c r="Y6" s="8"/>
      <c r="Z6" s="8"/>
    </row>
    <row r="7" spans="1:26" x14ac:dyDescent="0.3">
      <c r="A7" s="2" t="s">
        <v>2</v>
      </c>
      <c r="B7" s="9">
        <v>0.05</v>
      </c>
      <c r="C7" s="8" t="s">
        <v>12</v>
      </c>
      <c r="D7" s="8"/>
      <c r="E7" s="8"/>
      <c r="F7" s="8"/>
      <c r="G7" s="8"/>
      <c r="H7" s="2" t="s">
        <v>2</v>
      </c>
      <c r="I7" s="9">
        <v>0.05</v>
      </c>
      <c r="J7" s="8" t="s">
        <v>12</v>
      </c>
      <c r="K7" s="8"/>
      <c r="L7" s="8"/>
      <c r="M7" s="8"/>
      <c r="N7" s="8"/>
      <c r="O7" s="2" t="s">
        <v>2</v>
      </c>
      <c r="P7" s="9">
        <v>0.05</v>
      </c>
      <c r="Q7" s="8" t="s">
        <v>12</v>
      </c>
      <c r="R7" s="8"/>
      <c r="S7" s="8"/>
      <c r="T7" s="8"/>
      <c r="U7" s="8"/>
      <c r="V7" s="8"/>
      <c r="W7" s="8"/>
      <c r="X7" s="8"/>
      <c r="Y7" s="8"/>
      <c r="Z7" s="8"/>
    </row>
    <row r="8" spans="1:26" x14ac:dyDescent="0.3">
      <c r="A8" s="2" t="s">
        <v>3</v>
      </c>
      <c r="B8" s="10">
        <v>100</v>
      </c>
      <c r="C8" s="8" t="s">
        <v>11</v>
      </c>
      <c r="D8" s="8"/>
      <c r="E8" s="8"/>
      <c r="F8" s="8"/>
      <c r="G8" s="8"/>
      <c r="H8" s="2" t="s">
        <v>3</v>
      </c>
      <c r="I8" s="10">
        <v>100</v>
      </c>
      <c r="J8" s="8" t="s">
        <v>11</v>
      </c>
      <c r="K8" s="8"/>
      <c r="L8" s="8"/>
      <c r="M8" s="8"/>
      <c r="N8" s="8"/>
      <c r="O8" s="2" t="s">
        <v>3</v>
      </c>
      <c r="P8" s="10">
        <v>100</v>
      </c>
      <c r="Q8" s="8" t="s">
        <v>11</v>
      </c>
      <c r="R8" s="8"/>
      <c r="S8" s="8"/>
      <c r="T8" s="8"/>
      <c r="U8" s="8"/>
      <c r="V8" s="8"/>
      <c r="W8" s="8"/>
      <c r="X8" s="8"/>
      <c r="Y8" s="8"/>
      <c r="Z8" s="8"/>
    </row>
    <row r="9" spans="1:26" x14ac:dyDescent="0.3">
      <c r="A9" s="2" t="s">
        <v>4</v>
      </c>
      <c r="B9" s="9">
        <v>0.04</v>
      </c>
      <c r="C9" s="8" t="s">
        <v>13</v>
      </c>
      <c r="D9" s="8"/>
      <c r="E9" s="8"/>
      <c r="F9" s="8"/>
      <c r="G9" s="8"/>
      <c r="H9" s="2" t="s">
        <v>4</v>
      </c>
      <c r="I9" s="9">
        <v>0.04</v>
      </c>
      <c r="J9" s="8" t="s">
        <v>13</v>
      </c>
      <c r="K9" s="8"/>
      <c r="L9" s="8"/>
      <c r="M9" s="8"/>
      <c r="N9" s="8"/>
      <c r="O9" s="2" t="s">
        <v>4</v>
      </c>
      <c r="P9" s="9">
        <v>0.04</v>
      </c>
      <c r="Q9" s="8" t="s">
        <v>13</v>
      </c>
      <c r="R9" s="8"/>
      <c r="S9" s="8"/>
      <c r="T9" s="8"/>
      <c r="U9" s="8"/>
      <c r="V9" s="8"/>
      <c r="W9" s="8"/>
      <c r="X9" s="8"/>
      <c r="Y9" s="8"/>
      <c r="Z9" s="8"/>
    </row>
    <row r="10" spans="1:26" x14ac:dyDescent="0.3">
      <c r="A10" s="2" t="s">
        <v>5</v>
      </c>
      <c r="B10" s="7">
        <v>2</v>
      </c>
      <c r="C10" s="8" t="s">
        <v>18</v>
      </c>
      <c r="D10" s="8"/>
      <c r="E10" s="8"/>
      <c r="F10" s="8"/>
      <c r="G10" s="8"/>
      <c r="H10" s="2" t="s">
        <v>5</v>
      </c>
      <c r="I10" s="7">
        <v>1</v>
      </c>
      <c r="J10" s="8" t="s">
        <v>18</v>
      </c>
      <c r="K10" s="8"/>
      <c r="L10" s="8"/>
      <c r="M10" s="8"/>
      <c r="N10" s="8"/>
      <c r="O10" s="2" t="s">
        <v>5</v>
      </c>
      <c r="P10" s="7">
        <v>0</v>
      </c>
      <c r="Q10" s="8" t="s">
        <v>18</v>
      </c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3">
      <c r="C11" s="8"/>
      <c r="D11" s="8"/>
      <c r="E11" s="8"/>
      <c r="F11" s="8"/>
      <c r="G11" s="8"/>
      <c r="J11" s="8"/>
      <c r="K11" s="8"/>
      <c r="L11" s="8"/>
      <c r="M11" s="8"/>
      <c r="N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3">
      <c r="C12" s="8"/>
      <c r="D12" s="8"/>
      <c r="E12" s="8"/>
      <c r="F12" s="8"/>
      <c r="G12" s="8"/>
      <c r="J12" s="8"/>
      <c r="K12" s="8"/>
      <c r="L12" s="8"/>
      <c r="M12" s="8"/>
      <c r="N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3">
      <c r="A13" s="3"/>
      <c r="C13" s="8"/>
      <c r="D13" s="8"/>
      <c r="E13" s="8"/>
      <c r="F13" s="8"/>
      <c r="G13" s="8"/>
      <c r="H13" s="3"/>
      <c r="J13" s="8"/>
      <c r="K13" s="8"/>
      <c r="L13" s="8"/>
      <c r="M13" s="8"/>
      <c r="N13" s="8"/>
      <c r="O13" s="3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3">
      <c r="A14" s="5" t="s">
        <v>8</v>
      </c>
      <c r="B14" s="6"/>
      <c r="C14" s="8"/>
      <c r="D14" s="8"/>
      <c r="E14" s="8"/>
      <c r="F14" s="8"/>
      <c r="G14" s="8"/>
      <c r="H14" s="5" t="s">
        <v>8</v>
      </c>
      <c r="I14" s="6"/>
      <c r="J14" s="8"/>
      <c r="K14" s="8"/>
      <c r="L14" s="8"/>
      <c r="M14" s="8"/>
      <c r="N14" s="8"/>
      <c r="O14" s="5" t="s">
        <v>8</v>
      </c>
      <c r="P14" s="6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3">
      <c r="A15" s="4" t="str" cm="1">
        <f t="array" ref="A15:B18">BondSummary(B5, B6, B7, B8, B9, B10)</f>
        <v>Bond Price</v>
      </c>
      <c r="B15" s="2">
        <v>100.99492983173434</v>
      </c>
      <c r="C15" s="8"/>
      <c r="D15" s="8"/>
      <c r="E15" s="8"/>
      <c r="F15" s="8"/>
      <c r="G15" s="8"/>
      <c r="H15" s="4" t="str" cm="1">
        <f t="array" ref="H15:I18">BondSummary(I5, I6, I7, I8, I9, I10)</f>
        <v>Bond Price</v>
      </c>
      <c r="I15" s="2">
        <v>101.03306460870169</v>
      </c>
      <c r="J15" s="8"/>
      <c r="K15" s="8"/>
      <c r="L15" s="8"/>
      <c r="M15" s="8"/>
      <c r="N15" s="8"/>
      <c r="O15" s="4" t="str" cm="1">
        <f t="array" ref="O15:P18">BondSummary(P5, P6, P7, P8, P9, P10)</f>
        <v>Bond Price</v>
      </c>
      <c r="P15" s="2">
        <v>100.97549138792959</v>
      </c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3">
      <c r="A16" s="4" t="str">
        <v>Macaulay Duration</v>
      </c>
      <c r="B16" s="2">
        <v>0.9817380689377182</v>
      </c>
      <c r="C16" s="8"/>
      <c r="D16" s="8"/>
      <c r="E16" s="8"/>
      <c r="F16" s="8"/>
      <c r="G16" s="8"/>
      <c r="H16" s="4" t="str">
        <v>Macaulay Duration</v>
      </c>
      <c r="I16" s="2">
        <v>0.98174204630315898</v>
      </c>
      <c r="J16" s="8"/>
      <c r="K16" s="8"/>
      <c r="L16" s="8"/>
      <c r="M16" s="8"/>
      <c r="N16" s="8"/>
      <c r="O16" s="4" t="str">
        <v>Macaulay Duration</v>
      </c>
      <c r="P16" s="2">
        <v>0.98173604061203557</v>
      </c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3">
      <c r="A17" s="2" t="str">
        <v>Modified Duration</v>
      </c>
      <c r="B17" s="2">
        <v>0.97206553680534658</v>
      </c>
      <c r="C17" s="8"/>
      <c r="D17" s="8"/>
      <c r="E17" s="8"/>
      <c r="F17" s="8"/>
      <c r="G17" s="8"/>
      <c r="H17" s="2" t="str">
        <v>Modified Duration</v>
      </c>
      <c r="I17" s="2">
        <v>0.9721629297247445</v>
      </c>
      <c r="J17" s="8"/>
      <c r="K17" s="8"/>
      <c r="L17" s="8"/>
      <c r="M17" s="8"/>
      <c r="N17" s="8"/>
      <c r="O17" s="2" t="str">
        <v>Modified Duration</v>
      </c>
      <c r="P17" s="2">
        <v>0.97201588179409459</v>
      </c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3">
      <c r="A18" s="2" t="str">
        <v>Convexity</v>
      </c>
      <c r="B18" s="2">
        <v>1.1956750034111954</v>
      </c>
      <c r="C18" s="8"/>
      <c r="D18" s="8"/>
      <c r="E18" s="8"/>
      <c r="F18" s="8"/>
      <c r="G18" s="8"/>
      <c r="H18" s="2" t="str">
        <v>Convexity</v>
      </c>
      <c r="I18" s="2">
        <v>1.1959111757253806</v>
      </c>
      <c r="J18" s="8"/>
      <c r="K18" s="8"/>
      <c r="L18" s="8"/>
      <c r="M18" s="8"/>
      <c r="N18" s="8"/>
      <c r="O18" s="2" t="str">
        <v>Convexity</v>
      </c>
      <c r="P18" s="2">
        <v>1.195554601980503</v>
      </c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Hryhorchuk1, Oleksandr</dc:creator>
  <cp:lastModifiedBy>Hryhorchuk1, Oleksandr</cp:lastModifiedBy>
  <dcterms:created xsi:type="dcterms:W3CDTF">2021-10-24T14:32:49Z</dcterms:created>
  <dcterms:modified xsi:type="dcterms:W3CDTF">2021-10-24T18:26:55Z</dcterms:modified>
</cp:coreProperties>
</file>