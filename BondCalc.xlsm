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MIT15.435x\"/>
    </mc:Choice>
  </mc:AlternateContent>
  <xr:revisionPtr revIDLastSave="0" documentId="13_ncr:1_{B6CC7AAE-8106-426E-B388-44DEB833CDDB}" xr6:coauthVersionLast="47" xr6:coauthVersionMax="47" xr10:uidLastSave="{00000000-0000-0000-0000-000000000000}"/>
  <bookViews>
    <workbookView xWindow="-108" yWindow="-108" windowWidth="23256" windowHeight="12576" xr2:uid="{A4FB1F62-105F-4EC8-A934-AD92FAC8CB75}"/>
  </bookViews>
  <sheets>
    <sheet name="Bond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1" l="1" a="1"/>
  <c r="H16" i="1" a="1"/>
  <c r="O16" i="1" a="1"/>
  <c r="O16" i="1" l="1"/>
  <c r="H16" i="1"/>
  <c r="A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<sst xmlns="http://schemas.openxmlformats.org/spreadsheetml/2006/main" count="52" uniqueCount="23">
  <si>
    <t>Maturity</t>
  </si>
  <si>
    <t>CouponFrequency</t>
  </si>
  <si>
    <t>CouponRate</t>
  </si>
  <si>
    <t>FaceValue</t>
  </si>
  <si>
    <t>Yield</t>
  </si>
  <si>
    <t>YieldFrequency</t>
  </si>
  <si>
    <t>Example 1</t>
  </si>
  <si>
    <t>Inputs</t>
  </si>
  <si>
    <t>Outputs</t>
  </si>
  <si>
    <t>&lt;- Bond maturity in Years</t>
  </si>
  <si>
    <t>&lt;- Coupon payments per year (positive integer)</t>
  </si>
  <si>
    <t>&lt;- Face value of a bond, dollars</t>
  </si>
  <si>
    <t>&lt;- Yield on a bond</t>
  </si>
  <si>
    <t>Example 2</t>
  </si>
  <si>
    <t>Example 3</t>
  </si>
  <si>
    <t>YieldFrequency = 2 - Yield is interpreted as "bond equivalent basis"</t>
  </si>
  <si>
    <t>YieldFrequency = 1 - Yield is interpreted as "effective annual yield"</t>
  </si>
  <si>
    <t>&lt;- Yield compounding frequency, periods per year (non-negative integer)</t>
  </si>
  <si>
    <t>YieldFrequency = 0 - Yield is assumed to be quoted with the same compounding frequency as CouponFrequency (quarterly in this example)</t>
  </si>
  <si>
    <t>As solved in Recitation (Yield converted manually from effective annual to bond equivalent basis)</t>
  </si>
  <si>
    <t>Week 3, Recitation, Problem (a)</t>
  </si>
  <si>
    <t>No need to convert Yield manually; same result up to rounding errors</t>
  </si>
  <si>
    <t>&lt;- Coupon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</si>
</sst>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"/>
    <numFmt numFmtId="165" formatCode="0.0000"/>
    <numFmt numFmtId="167" formatCode="0.000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/>
    <xf numFmtId="0" fontId="0" fillId="2" borderId="0" xfId="0" applyFill="1" applyAlignment="1"/>
    <xf numFmtId="164" fontId="0" fillId="2" borderId="0" xfId="0" applyNumberFormat="1" applyFill="1" applyAlignment="1"/>
    <xf numFmtId="0" fontId="1" fillId="3" borderId="0" xfId="0" applyFont="1" applyFill="1" applyAlignment="1"/>
    <xf numFmtId="0" fontId="2" fillId="3" borderId="0" xfId="0" applyFont="1" applyFill="1" applyAlignment="1"/>
    <xf numFmtId="0" fontId="0" fillId="4" borderId="0" xfId="0" applyFill="1" applyAlignment="1"/>
    <xf numFmtId="0" fontId="0" fillId="5" borderId="0" xfId="0" applyFill="1" applyAlignment="1"/>
    <xf numFmtId="10" fontId="0" fillId="5" borderId="0" xfId="0" applyNumberFormat="1" applyFill="1" applyAlignment="1"/>
    <xf numFmtId="165" fontId="0" fillId="5" borderId="0" xfId="0" applyNumberFormat="1" applyFill="1" applyAlignment="1"/>
    <xf numFmtId="0" fontId="3" fillId="5" borderId="0" xfId="0" applyFont="1" applyFill="1" applyAlignment="1"/>
    <xf numFmtId="0" fontId="0" fillId="5" borderId="0" xfId="0" quotePrefix="1" applyFill="1" applyAlignment="1"/>
    <xf numFmtId="0" fontId="4" fillId="5" borderId="0" xfId="0" applyFont="1" applyFill="1" applyAlignment="1"/>
    <xf numFmtId="0" fontId="5" fillId="5" borderId="0" xfId="0" applyFont="1" applyFill="1" applyAlignment="1"/>
    <xf numFmtId="0" fontId="6" fillId="5" borderId="0" xfId="0" applyFont="1" applyFill="1" applyAlignment="1"/>
    <xf numFmtId="0" fontId="6" fillId="0" borderId="0" xfId="0" applyFont="1" applyAlignment="1"/>
    <xf numFmtId="167" fontId="0" fillId="5" borderId="0" xfId="0" applyNumberForma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8671-144D-42BD-A161-38A352E6A8EB}">
  <sheetPr codeName="Sheet1"/>
  <dimension ref="A1:Z20"/>
  <sheetViews>
    <sheetView tabSelected="1" workbookViewId="0"/>
  </sheetViews>
  <sheetFormatPr defaultRowHeight="14.4" x14ac:dyDescent="0.3"/>
  <cols>
    <col min="1" max="1" width="16.77734375" style="1" customWidth="1"/>
    <col min="2" max="2" width="10.5546875" style="1" bestFit="1" customWidth="1"/>
    <col min="3" max="7" width="8.88671875" style="1"/>
    <col min="8" max="8" width="16.77734375" style="1" customWidth="1"/>
    <col min="9" max="9" width="10.5546875" style="1" bestFit="1" customWidth="1"/>
    <col min="10" max="14" width="8.88671875" style="1"/>
    <col min="15" max="15" width="16.77734375" style="1" customWidth="1"/>
    <col min="16" max="16" width="10.5546875" style="1" bestFit="1" customWidth="1"/>
    <col min="17" max="16384" width="8.88671875" style="1"/>
  </cols>
  <sheetData>
    <row r="1" spans="1:26" ht="31.2" x14ac:dyDescent="0.6">
      <c r="A1" s="12" t="s">
        <v>20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s="15" customFormat="1" ht="21" x14ac:dyDescent="0.4">
      <c r="A2" s="13" t="s">
        <v>6</v>
      </c>
      <c r="B2" s="14"/>
      <c r="C2" s="14"/>
      <c r="D2" s="14"/>
      <c r="E2" s="14"/>
      <c r="F2" s="14"/>
      <c r="G2" s="14"/>
      <c r="H2" s="13" t="s">
        <v>13</v>
      </c>
      <c r="I2" s="14"/>
      <c r="J2" s="14"/>
      <c r="K2" s="14"/>
      <c r="L2" s="14"/>
      <c r="M2" s="14"/>
      <c r="N2" s="14"/>
      <c r="O2" s="13" t="s">
        <v>14</v>
      </c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3">
      <c r="A3" s="10" t="s">
        <v>15</v>
      </c>
      <c r="B3" s="7"/>
      <c r="C3" s="7"/>
      <c r="D3" s="7"/>
      <c r="E3" s="7"/>
      <c r="F3" s="7"/>
      <c r="G3" s="7"/>
      <c r="H3" s="10" t="s">
        <v>16</v>
      </c>
      <c r="I3" s="7"/>
      <c r="J3" s="7"/>
      <c r="K3" s="7"/>
      <c r="L3" s="7"/>
      <c r="M3" s="7"/>
      <c r="N3" s="7"/>
      <c r="O3" s="10" t="s">
        <v>18</v>
      </c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3">
      <c r="A4" s="10" t="s">
        <v>19</v>
      </c>
      <c r="B4" s="7"/>
      <c r="C4" s="7"/>
      <c r="D4" s="7"/>
      <c r="E4" s="7"/>
      <c r="F4" s="7"/>
      <c r="G4" s="7"/>
      <c r="H4" s="10" t="s">
        <v>21</v>
      </c>
      <c r="I4" s="7"/>
      <c r="J4" s="7"/>
      <c r="K4" s="7"/>
      <c r="L4" s="7"/>
      <c r="M4" s="7"/>
      <c r="N4" s="7"/>
      <c r="O4" s="10" t="s">
        <v>21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3">
      <c r="A5" s="4" t="s">
        <v>7</v>
      </c>
      <c r="B5" s="5"/>
      <c r="C5" s="7"/>
      <c r="D5" s="7"/>
      <c r="E5" s="7"/>
      <c r="F5" s="7"/>
      <c r="G5" s="7"/>
      <c r="H5" s="4" t="s">
        <v>7</v>
      </c>
      <c r="I5" s="5"/>
      <c r="J5" s="7"/>
      <c r="K5" s="7"/>
      <c r="L5" s="7"/>
      <c r="M5" s="7"/>
      <c r="N5" s="7"/>
      <c r="O5" s="4" t="s">
        <v>7</v>
      </c>
      <c r="P5" s="5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3">
      <c r="A6" s="2" t="s">
        <v>0</v>
      </c>
      <c r="B6" s="7">
        <v>2</v>
      </c>
      <c r="C6" s="7" t="s">
        <v>9</v>
      </c>
      <c r="D6" s="7"/>
      <c r="E6" s="7"/>
      <c r="F6" s="7"/>
      <c r="G6" s="7"/>
      <c r="H6" s="2" t="s">
        <v>0</v>
      </c>
      <c r="I6" s="7">
        <v>2</v>
      </c>
      <c r="J6" s="7" t="s">
        <v>9</v>
      </c>
      <c r="K6" s="7"/>
      <c r="L6" s="7"/>
      <c r="M6" s="7"/>
      <c r="N6" s="7"/>
      <c r="O6" s="2" t="s">
        <v>0</v>
      </c>
      <c r="P6" s="7">
        <v>2</v>
      </c>
      <c r="Q6" s="7" t="s">
        <v>9</v>
      </c>
      <c r="R6" s="7"/>
      <c r="S6" s="7"/>
      <c r="T6" s="7"/>
      <c r="U6" s="7"/>
      <c r="V6" s="7"/>
      <c r="W6" s="7"/>
      <c r="X6" s="7"/>
      <c r="Y6" s="7"/>
      <c r="Z6" s="7"/>
    </row>
    <row r="7" spans="1:26" x14ac:dyDescent="0.3">
      <c r="A7" s="2" t="s">
        <v>1</v>
      </c>
      <c r="B7" s="7">
        <v>1</v>
      </c>
      <c r="C7" s="7" t="s">
        <v>10</v>
      </c>
      <c r="D7" s="7"/>
      <c r="E7" s="7"/>
      <c r="F7" s="7"/>
      <c r="G7" s="7"/>
      <c r="H7" s="2" t="s">
        <v>1</v>
      </c>
      <c r="I7" s="7">
        <v>1</v>
      </c>
      <c r="J7" s="7" t="s">
        <v>10</v>
      </c>
      <c r="K7" s="7"/>
      <c r="L7" s="7"/>
      <c r="M7" s="7"/>
      <c r="N7" s="7"/>
      <c r="O7" s="2" t="s">
        <v>1</v>
      </c>
      <c r="P7" s="7">
        <v>1</v>
      </c>
      <c r="Q7" s="7" t="s">
        <v>10</v>
      </c>
      <c r="R7" s="7"/>
      <c r="S7" s="7"/>
      <c r="T7" s="7"/>
      <c r="U7" s="7"/>
      <c r="V7" s="7"/>
      <c r="W7" s="7"/>
      <c r="X7" s="7"/>
      <c r="Y7" s="7"/>
      <c r="Z7" s="7"/>
    </row>
    <row r="8" spans="1:26" x14ac:dyDescent="0.3">
      <c r="A8" s="2" t="s">
        <v>2</v>
      </c>
      <c r="B8" s="8">
        <v>0.04</v>
      </c>
      <c r="C8" s="7" t="s">
        <v>22</v>
      </c>
      <c r="D8" s="7"/>
      <c r="E8" s="7"/>
      <c r="F8" s="7"/>
      <c r="G8" s="7"/>
      <c r="H8" s="2" t="s">
        <v>2</v>
      </c>
      <c r="I8" s="8">
        <v>0.04</v>
      </c>
      <c r="J8" s="7" t="s">
        <v>22</v>
      </c>
      <c r="K8" s="7"/>
      <c r="L8" s="7"/>
      <c r="M8" s="7"/>
      <c r="N8" s="7"/>
      <c r="O8" s="2" t="s">
        <v>2</v>
      </c>
      <c r="P8" s="8">
        <v>0.04</v>
      </c>
      <c r="Q8" s="7" t="s">
        <v>22</v>
      </c>
      <c r="R8" s="7"/>
      <c r="S8" s="7"/>
      <c r="T8" s="7"/>
      <c r="U8" s="7"/>
      <c r="V8" s="7"/>
      <c r="W8" s="7"/>
      <c r="X8" s="7"/>
      <c r="Y8" s="7"/>
      <c r="Z8" s="7"/>
    </row>
    <row r="9" spans="1:26" x14ac:dyDescent="0.3">
      <c r="A9" s="2" t="s">
        <v>3</v>
      </c>
      <c r="B9" s="9">
        <v>100</v>
      </c>
      <c r="C9" s="7" t="s">
        <v>11</v>
      </c>
      <c r="D9" s="7"/>
      <c r="E9" s="7"/>
      <c r="F9" s="7"/>
      <c r="G9" s="7"/>
      <c r="H9" s="2" t="s">
        <v>3</v>
      </c>
      <c r="I9" s="9">
        <v>100</v>
      </c>
      <c r="J9" s="7" t="s">
        <v>11</v>
      </c>
      <c r="K9" s="7"/>
      <c r="L9" s="7"/>
      <c r="M9" s="7"/>
      <c r="N9" s="7"/>
      <c r="O9" s="2" t="s">
        <v>3</v>
      </c>
      <c r="P9" s="9">
        <v>100</v>
      </c>
      <c r="Q9" s="7" t="s">
        <v>11</v>
      </c>
      <c r="R9" s="7"/>
      <c r="S9" s="7"/>
      <c r="T9" s="7"/>
      <c r="U9" s="7"/>
      <c r="V9" s="7"/>
      <c r="W9" s="7"/>
      <c r="X9" s="7"/>
      <c r="Y9" s="7"/>
      <c r="Z9" s="7"/>
    </row>
    <row r="10" spans="1:26" x14ac:dyDescent="0.3">
      <c r="A10" s="2" t="s">
        <v>4</v>
      </c>
      <c r="B10" s="16">
        <v>5.0139999999999997E-2</v>
      </c>
      <c r="C10" s="7" t="s">
        <v>12</v>
      </c>
      <c r="D10" s="7"/>
      <c r="E10" s="7"/>
      <c r="F10" s="7"/>
      <c r="G10" s="7"/>
      <c r="H10" s="2" t="s">
        <v>4</v>
      </c>
      <c r="I10" s="16">
        <v>5.0770000000000003E-2</v>
      </c>
      <c r="J10" s="7" t="s">
        <v>12</v>
      </c>
      <c r="K10" s="7"/>
      <c r="L10" s="7"/>
      <c r="M10" s="7"/>
      <c r="N10" s="7"/>
      <c r="O10" s="2" t="s">
        <v>4</v>
      </c>
      <c r="P10" s="16">
        <v>5.0770000000000003E-2</v>
      </c>
      <c r="Q10" s="7" t="s">
        <v>12</v>
      </c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3">
      <c r="A11" s="2" t="s">
        <v>5</v>
      </c>
      <c r="B11" s="6">
        <v>2</v>
      </c>
      <c r="C11" s="7" t="s">
        <v>17</v>
      </c>
      <c r="D11" s="7"/>
      <c r="E11" s="7"/>
      <c r="F11" s="7"/>
      <c r="G11" s="7"/>
      <c r="H11" s="2" t="s">
        <v>5</v>
      </c>
      <c r="I11" s="6">
        <v>1</v>
      </c>
      <c r="J11" s="7" t="s">
        <v>17</v>
      </c>
      <c r="K11" s="7"/>
      <c r="L11" s="7"/>
      <c r="M11" s="7"/>
      <c r="N11" s="7"/>
      <c r="O11" s="2" t="s">
        <v>5</v>
      </c>
      <c r="P11" s="6">
        <v>0</v>
      </c>
      <c r="Q11" s="7" t="s">
        <v>17</v>
      </c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3">
      <c r="A14" s="11"/>
      <c r="B14" s="7"/>
      <c r="C14" s="7"/>
      <c r="D14" s="7"/>
      <c r="E14" s="7"/>
      <c r="F14" s="7"/>
      <c r="G14" s="7"/>
      <c r="H14" s="11"/>
      <c r="I14" s="7"/>
      <c r="J14" s="7"/>
      <c r="K14" s="7"/>
      <c r="L14" s="7"/>
      <c r="M14" s="7"/>
      <c r="N14" s="7"/>
      <c r="O14" s="11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3">
      <c r="A15" s="4" t="s">
        <v>8</v>
      </c>
      <c r="B15" s="5"/>
      <c r="C15" s="7"/>
      <c r="D15" s="7"/>
      <c r="E15" s="7"/>
      <c r="F15" s="7"/>
      <c r="G15" s="7"/>
      <c r="H15" s="4" t="s">
        <v>8</v>
      </c>
      <c r="I15" s="5"/>
      <c r="J15" s="7"/>
      <c r="K15" s="7"/>
      <c r="L15" s="7"/>
      <c r="M15" s="7"/>
      <c r="N15" s="7"/>
      <c r="O15" s="4" t="s">
        <v>8</v>
      </c>
      <c r="P15" s="5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3">
      <c r="A16" s="3" t="str" cm="1">
        <f t="array" ref="A16:B19">BondSummary(B6, B7, B8, B9, B10, B11)</f>
        <v>Bond Price</v>
      </c>
      <c r="B16" s="2">
        <v>97.999871238349911</v>
      </c>
      <c r="C16" s="7"/>
      <c r="D16" s="7"/>
      <c r="E16" s="7"/>
      <c r="F16" s="7"/>
      <c r="G16" s="7"/>
      <c r="H16" s="3" t="str" cm="1">
        <f t="array" ref="H16:I19">BondSummary(I6, I7, I8, I9, I10, I11)</f>
        <v>Bond Price</v>
      </c>
      <c r="I16" s="2">
        <v>97.999597774546061</v>
      </c>
      <c r="J16" s="7"/>
      <c r="K16" s="7"/>
      <c r="L16" s="7"/>
      <c r="M16" s="7"/>
      <c r="N16" s="7"/>
      <c r="O16" s="3" t="str" cm="1">
        <f t="array" ref="O16:P19">BondSummary(P6, P7, P8, P9, P10, P11)</f>
        <v>Bond Price</v>
      </c>
      <c r="P16" s="2">
        <v>97.999597774546061</v>
      </c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3">
      <c r="A17" s="3" t="str">
        <v>Macaulay Duration</v>
      </c>
      <c r="B17" s="2">
        <v>1.9611556875099627</v>
      </c>
      <c r="C17" s="7"/>
      <c r="D17" s="7"/>
      <c r="E17" s="7"/>
      <c r="F17" s="7"/>
      <c r="G17" s="7"/>
      <c r="H17" s="3" t="str">
        <v>Macaulay Duration</v>
      </c>
      <c r="I17" s="2">
        <v>1.9611556343867476</v>
      </c>
      <c r="J17" s="7"/>
      <c r="K17" s="7"/>
      <c r="L17" s="7"/>
      <c r="M17" s="7"/>
      <c r="N17" s="7"/>
      <c r="O17" s="3" t="str">
        <v>Macaulay Duration</v>
      </c>
      <c r="P17" s="2">
        <v>1.9611556343867476</v>
      </c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3">
      <c r="A18" s="2" t="str">
        <v>Modified Duration</v>
      </c>
      <c r="B18" s="2">
        <v>1.8664012847402607</v>
      </c>
      <c r="C18" s="7"/>
      <c r="D18" s="7"/>
      <c r="E18" s="7"/>
      <c r="F18" s="7"/>
      <c r="G18" s="7"/>
      <c r="H18" s="2" t="str">
        <v>Modified Duration</v>
      </c>
      <c r="I18" s="2">
        <v>1.8663985785535822</v>
      </c>
      <c r="J18" s="7"/>
      <c r="K18" s="7"/>
      <c r="L18" s="7"/>
      <c r="M18" s="7"/>
      <c r="N18" s="7"/>
      <c r="O18" s="2" t="str">
        <v>Modified Duration</v>
      </c>
      <c r="P18" s="2">
        <v>1.8663985785535822</v>
      </c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3">
      <c r="A19" s="2" t="str">
        <v>Convexity</v>
      </c>
      <c r="B19" s="2">
        <v>5.2934935733608057</v>
      </c>
      <c r="C19" s="7"/>
      <c r="D19" s="7"/>
      <c r="E19" s="7"/>
      <c r="F19" s="7"/>
      <c r="G19" s="7"/>
      <c r="H19" s="2" t="str">
        <v>Convexity</v>
      </c>
      <c r="I19" s="2">
        <v>5.2934783171019886</v>
      </c>
      <c r="J19" s="7"/>
      <c r="K19" s="7"/>
      <c r="L19" s="7"/>
      <c r="M19" s="7"/>
      <c r="N19" s="7"/>
      <c r="O19" s="2" t="str">
        <v>Convexity</v>
      </c>
      <c r="P19" s="2">
        <v>5.2934783171019886</v>
      </c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Hryhorchuk1, Oleksandr</dc:creator>
  <cp:lastModifiedBy>Hryhorchuk1, Oleksandr</cp:lastModifiedBy>
  <dcterms:created xsi:type="dcterms:W3CDTF">2021-10-24T14:32:49Z</dcterms:created>
  <dcterms:modified xsi:type="dcterms:W3CDTF">2021-10-24T20:01:14Z</dcterms:modified>
</cp:coreProperties>
</file>